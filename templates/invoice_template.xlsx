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530" windowHeight="10425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2" l="1"/>
  <c r="G18" i="2" l="1"/>
  <c r="G19" i="2" s="1"/>
</calcChain>
</file>

<file path=xl/sharedStrings.xml><?xml version="1.0" encoding="utf-8"?>
<sst xmlns="http://schemas.openxmlformats.org/spreadsheetml/2006/main" count="46" uniqueCount="44">
  <si>
    <t>№</t>
  </si>
  <si>
    <t>ID, наименование устройства</t>
  </si>
  <si>
    <t>ПЕРИОД</t>
  </si>
  <si>
    <t>Тариф, руб. без НДС (20%)</t>
  </si>
  <si>
    <t xml:space="preserve"> НДС (20%)</t>
  </si>
  <si>
    <t>ИТОГО, руб. без учета НДС (20%)</t>
  </si>
  <si>
    <t>ИТОГО, руб.с НДС (20%)</t>
  </si>
  <si>
    <t>№ Заказа</t>
  </si>
  <si>
    <t>ТПО</t>
  </si>
  <si>
    <t>Услуга:  Предоставление канала связи</t>
  </si>
  <si>
    <t>Общество с ограниченной ответственностью «Систематикс»
Адрес: 660049, г. Красноярск, пр. Мира 45а, ИНН 2466220904</t>
  </si>
  <si>
    <r>
      <t xml:space="preserve">ДЕТАЛИЗАЦИЯ </t>
    </r>
    <r>
      <rPr>
        <b/>
        <sz val="14"/>
        <rFont val="Calibri"/>
        <family val="2"/>
        <charset val="204"/>
        <scheme val="minor"/>
      </rPr>
      <t>К СЧЕТУ</t>
    </r>
  </si>
  <si>
    <t>Макрорегион: Москва</t>
  </si>
  <si>
    <t>Стоимость за период, руб. без НДС (20%)</t>
  </si>
  <si>
    <t xml:space="preserve">М-1 </t>
  </si>
  <si>
    <t xml:space="preserve">М-3 </t>
  </si>
  <si>
    <t xml:space="preserve">М-6 </t>
  </si>
  <si>
    <t xml:space="preserve">М-9 </t>
  </si>
  <si>
    <t xml:space="preserve">М-10 </t>
  </si>
  <si>
    <t xml:space="preserve">М-2 </t>
  </si>
  <si>
    <t xml:space="preserve">М-5 </t>
  </si>
  <si>
    <t xml:space="preserve">М-4 </t>
  </si>
  <si>
    <t>М-8</t>
  </si>
  <si>
    <t xml:space="preserve">М-7 </t>
  </si>
  <si>
    <t xml:space="preserve">0101251600157 КБ «ЭНЕРГОТРАНСБАНК» (АО) </t>
  </si>
  <si>
    <t>0101251600163 Тест ДФП</t>
  </si>
  <si>
    <t>0101251600164 Цой Сергей Сергеевич</t>
  </si>
  <si>
    <t>0102251700058 АО АКБ «СЛАВИЯ»</t>
  </si>
  <si>
    <t>0102251700061 "Глория Джинс"</t>
  </si>
  <si>
    <t>0102251700062 "Фора-Банк"</t>
  </si>
  <si>
    <t>0102251700066 "ВОДОЛЕЙ"</t>
  </si>
  <si>
    <t>0102251700067 ООО «УК АРТЕС»</t>
  </si>
  <si>
    <t>0102251700068 Тест Москва 2</t>
  </si>
  <si>
    <t>0102251700070 Тест Москва</t>
  </si>
  <si>
    <t>01.03.2025 - 31.03.2025</t>
  </si>
  <si>
    <t>10.03.2025 - 31.03.2025</t>
  </si>
  <si>
    <t>18.03.2025 - 31.03.2025</t>
  </si>
  <si>
    <t>20.03.2025 - 31.03.2025</t>
  </si>
  <si>
    <t>21.03.2025 - 31.03.2025</t>
  </si>
  <si>
    <t>05.03.2025 - 31.03.2025</t>
  </si>
  <si>
    <t>14.03.2025 - 31.03.2025</t>
  </si>
  <si>
    <t>12.03.2025 - 31.03.2025</t>
  </si>
  <si>
    <t>Период: март 2025 г.</t>
  </si>
  <si>
    <t>Договор № D240352920                Дата счета: 27.05.2025                               Номер счета: 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</si>
</sst>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₽&quot;"/>
    <numFmt numFmtId="165" formatCode="[$-F800]dddd\,\ mmmm\ dd\,\ 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8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" fontId="4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0" fillId="0" borderId="0" xfId="0" applyNumberFormat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1" xfId="0" applyBorder="1" applyAlignment="1">
      <alignment horizontal="center" vertical="center"/>
    </xf>
    <xf numFmtId="4" fontId="8" fillId="0" borderId="0" xfId="0" applyNumberFormat="1" applyFont="1" applyAlignment="1">
      <alignment vertical="center" wrapText="1"/>
    </xf>
    <xf numFmtId="0" fontId="7" fillId="0" borderId="1" xfId="0" applyFont="1" applyBorder="1" applyAlignment="1">
      <alignment horizontal="center"/>
    </xf>
    <xf numFmtId="4" fontId="10" fillId="0" borderId="0" xfId="0" applyNumberFormat="1" applyFont="1" applyAlignment="1">
      <alignment vertical="center" wrapText="1"/>
    </xf>
    <xf numFmtId="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0" fillId="0" borderId="1" xfId="0" applyBorder="1"/>
    <xf numFmtId="0" fontId="0" fillId="0" borderId="1" xfId="0" applyBorder="1"/>
    <xf numFmtId="0" fontId="0" fillId="0" borderId="1" xfId="0" quotePrefix="1" applyBorder="1"/>
    <xf numFmtId="0" fontId="0" fillId="0" borderId="1" xfId="0" applyFill="1" applyBorder="1"/>
    <xf numFmtId="0" fontId="0" fillId="0" borderId="1" xfId="0" applyBorder="1"/>
    <xf numFmtId="2" fontId="0" fillId="0" borderId="1" xfId="0" applyNumberFormat="1" applyFill="1" applyBorder="1"/>
    <xf numFmtId="0" fontId="1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tabSelected="1" workbookViewId="0">
      <selection activeCell="G19" sqref="G19"/>
    </sheetView>
  </sheetViews>
  <sheetFormatPr defaultRowHeight="15" x14ac:dyDescent="0.25"/>
  <cols>
    <col min="2" max="2" width="14.28515625" customWidth="1"/>
    <col min="3" max="3" width="22.42578125" customWidth="1"/>
    <col min="4" max="4" width="54.28515625" customWidth="1"/>
    <col min="5" max="5" width="24.42578125" customWidth="1"/>
    <col min="6" max="6" width="16.42578125" customWidth="1"/>
    <col min="7" max="7" width="26.7109375" customWidth="1"/>
    <col min="12" max="12" width="32.5703125" customWidth="1"/>
  </cols>
  <sheetData>
    <row r="1" spans="1:11" ht="58.5" customHeight="1" x14ac:dyDescent="0.25">
      <c r="A1" s="33" t="s">
        <v>10</v>
      </c>
      <c r="B1" s="33"/>
      <c r="C1" s="33"/>
      <c r="D1" s="2"/>
      <c r="E1" s="18"/>
      <c r="G1" s="20" t="s">
        <v>43</v>
      </c>
      <c r="H1" s="3"/>
      <c r="I1" s="3"/>
    </row>
    <row r="2" spans="1:11" ht="18.75" x14ac:dyDescent="0.25">
      <c r="A2" s="3"/>
      <c r="B2" s="3"/>
      <c r="C2" s="4"/>
      <c r="D2" s="2"/>
      <c r="E2" s="2"/>
      <c r="F2" s="2"/>
      <c r="G2" s="21" t="s">
        <v>42</v>
      </c>
      <c r="H2" s="3"/>
      <c r="I2" s="3"/>
    </row>
    <row r="3" spans="1:11" ht="18.75" x14ac:dyDescent="0.25">
      <c r="A3" s="34" t="s">
        <v>11</v>
      </c>
      <c r="B3" s="34"/>
      <c r="C3" s="34"/>
      <c r="D3" s="34"/>
      <c r="E3" s="34"/>
      <c r="F3" s="34"/>
      <c r="G3" s="34"/>
      <c r="H3" s="13"/>
      <c r="I3" s="3"/>
    </row>
    <row r="4" spans="1:11" x14ac:dyDescent="0.25">
      <c r="A4" s="22" t="s">
        <v>9</v>
      </c>
      <c r="B4" s="3"/>
      <c r="C4" s="5"/>
      <c r="D4" s="2"/>
      <c r="E4" s="2"/>
      <c r="F4" s="2"/>
      <c r="G4" s="14"/>
      <c r="H4" s="13"/>
      <c r="I4" s="3"/>
    </row>
    <row r="5" spans="1:11" x14ac:dyDescent="0.25">
      <c r="A5" s="23" t="s">
        <v>12</v>
      </c>
      <c r="D5" s="1"/>
      <c r="E5" s="1"/>
    </row>
    <row r="6" spans="1:11" ht="22.5" x14ac:dyDescent="0.25">
      <c r="A6" s="11" t="s">
        <v>0</v>
      </c>
      <c r="B6" s="12" t="s">
        <v>7</v>
      </c>
      <c r="C6" s="12" t="s">
        <v>8</v>
      </c>
      <c r="D6" s="12" t="s">
        <v>1</v>
      </c>
      <c r="E6" s="12" t="s">
        <v>2</v>
      </c>
      <c r="F6" s="15" t="s">
        <v>3</v>
      </c>
      <c r="G6" s="15" t="s">
        <v>13</v>
      </c>
    </row>
    <row r="7" spans="1:11" ht="21.75" customHeight="1" x14ac:dyDescent="0.25">
      <c r="A7" s="17">
        <v>1</v>
      </c>
      <c r="B7" s="24" t="s">
        <v>14</v>
      </c>
      <c r="C7" s="19">
        <v>76996700271</v>
      </c>
      <c r="D7" s="25" t="s">
        <v>24</v>
      </c>
      <c r="E7" s="28" t="s">
        <v>34</v>
      </c>
      <c r="F7" s="27">
        <v>2500</v>
      </c>
      <c r="G7" s="29">
        <v>2500</v>
      </c>
      <c r="K7" s="16"/>
    </row>
    <row r="8" spans="1:11" ht="21.75" customHeight="1" x14ac:dyDescent="0.25">
      <c r="A8" s="17">
        <v>2</v>
      </c>
      <c r="B8" s="24" t="s">
        <v>15</v>
      </c>
      <c r="C8" s="19">
        <v>76996704602</v>
      </c>
      <c r="D8" s="25" t="s">
        <v>25</v>
      </c>
      <c r="E8" s="28" t="s">
        <v>35</v>
      </c>
      <c r="F8" s="27">
        <v>5000</v>
      </c>
      <c r="G8" s="29">
        <v>3548.38</v>
      </c>
      <c r="K8" s="16"/>
    </row>
    <row r="9" spans="1:11" ht="21.75" customHeight="1" x14ac:dyDescent="0.25">
      <c r="A9" s="17">
        <v>3</v>
      </c>
      <c r="B9" s="24" t="s">
        <v>16</v>
      </c>
      <c r="C9" s="19">
        <v>76761084545</v>
      </c>
      <c r="D9" s="25" t="s">
        <v>26</v>
      </c>
      <c r="E9" s="28" t="s">
        <v>36</v>
      </c>
      <c r="F9" s="27">
        <v>3750</v>
      </c>
      <c r="G9" s="29">
        <v>1693.8</v>
      </c>
      <c r="K9" s="16"/>
    </row>
    <row r="10" spans="1:11" ht="21.75" customHeight="1" x14ac:dyDescent="0.25">
      <c r="A10" s="17">
        <v>4</v>
      </c>
      <c r="B10" s="24" t="s">
        <v>17</v>
      </c>
      <c r="C10" s="19">
        <v>76761088808</v>
      </c>
      <c r="D10" s="25" t="s">
        <v>27</v>
      </c>
      <c r="E10" s="28" t="s">
        <v>37</v>
      </c>
      <c r="F10" s="27">
        <v>2500</v>
      </c>
      <c r="G10" s="29">
        <v>967.74</v>
      </c>
      <c r="K10" s="16"/>
    </row>
    <row r="11" spans="1:11" ht="21.75" customHeight="1" x14ac:dyDescent="0.25">
      <c r="A11" s="17">
        <v>5</v>
      </c>
      <c r="B11" s="24" t="s">
        <v>18</v>
      </c>
      <c r="C11" s="19">
        <v>76761199271</v>
      </c>
      <c r="D11" s="25" t="s">
        <v>28</v>
      </c>
      <c r="E11" s="28" t="s">
        <v>38</v>
      </c>
      <c r="F11" s="27">
        <v>2500</v>
      </c>
      <c r="G11" s="29">
        <v>887.1</v>
      </c>
      <c r="K11" s="16"/>
    </row>
    <row r="12" spans="1:11" ht="21.75" customHeight="1" x14ac:dyDescent="0.25">
      <c r="A12" s="17">
        <v>6</v>
      </c>
      <c r="B12" s="24" t="s">
        <v>19</v>
      </c>
      <c r="C12" s="19">
        <v>76761083236</v>
      </c>
      <c r="D12" s="26" t="s">
        <v>29</v>
      </c>
      <c r="E12" s="28" t="s">
        <v>39</v>
      </c>
      <c r="F12" s="27">
        <v>2500</v>
      </c>
      <c r="G12" s="29">
        <v>2177.42</v>
      </c>
      <c r="K12" s="16"/>
    </row>
    <row r="13" spans="1:11" ht="21.75" customHeight="1" x14ac:dyDescent="0.25">
      <c r="A13" s="17">
        <v>7</v>
      </c>
      <c r="B13" s="24" t="s">
        <v>20</v>
      </c>
      <c r="C13" s="19">
        <v>79162204126</v>
      </c>
      <c r="D13" s="25" t="s">
        <v>30</v>
      </c>
      <c r="E13" s="28" t="s">
        <v>40</v>
      </c>
      <c r="F13" s="27">
        <v>3750</v>
      </c>
      <c r="G13" s="29">
        <v>2177.42</v>
      </c>
      <c r="K13" s="16"/>
    </row>
    <row r="14" spans="1:11" ht="21.75" customHeight="1" x14ac:dyDescent="0.25">
      <c r="A14" s="17">
        <v>8</v>
      </c>
      <c r="B14" s="24" t="s">
        <v>21</v>
      </c>
      <c r="C14" s="19">
        <v>76761087513</v>
      </c>
      <c r="D14" s="25" t="s">
        <v>31</v>
      </c>
      <c r="E14" s="28" t="s">
        <v>41</v>
      </c>
      <c r="F14" s="27">
        <v>5000</v>
      </c>
      <c r="G14" s="29">
        <v>3225.81</v>
      </c>
      <c r="K14" s="16"/>
    </row>
    <row r="15" spans="1:11" ht="21.75" customHeight="1" x14ac:dyDescent="0.25">
      <c r="A15" s="17">
        <v>9</v>
      </c>
      <c r="B15" s="24" t="s">
        <v>22</v>
      </c>
      <c r="C15" s="19">
        <v>76996704601</v>
      </c>
      <c r="D15" s="25" t="s">
        <v>32</v>
      </c>
      <c r="E15" s="28" t="s">
        <v>37</v>
      </c>
      <c r="F15" s="27">
        <v>5000</v>
      </c>
      <c r="G15" s="29">
        <v>1935.48</v>
      </c>
      <c r="K15" s="16"/>
    </row>
    <row r="16" spans="1:11" ht="21.75" customHeight="1" x14ac:dyDescent="0.25">
      <c r="A16" s="17">
        <v>10</v>
      </c>
      <c r="B16" s="24" t="s">
        <v>23</v>
      </c>
      <c r="C16" s="19">
        <v>76996704600</v>
      </c>
      <c r="D16" s="25" t="s">
        <v>33</v>
      </c>
      <c r="E16" s="28" t="s">
        <v>37</v>
      </c>
      <c r="F16" s="27">
        <v>5000</v>
      </c>
      <c r="G16" s="29">
        <v>1935.48</v>
      </c>
      <c r="K16" s="16"/>
    </row>
    <row r="17" spans="1:8" ht="32.25" customHeight="1" x14ac:dyDescent="0.25">
      <c r="A17" s="31" t="s">
        <v>5</v>
      </c>
      <c r="B17" s="32"/>
      <c r="C17" s="32"/>
      <c r="D17" s="32"/>
      <c r="E17" s="32"/>
      <c r="F17" s="32"/>
      <c r="G17" s="6">
        <f>SUM(G7:G16)</f>
        <v>21048.63</v>
      </c>
    </row>
    <row r="18" spans="1:8" ht="32.25" customHeight="1" x14ac:dyDescent="0.25">
      <c r="A18" s="31" t="s">
        <v>4</v>
      </c>
      <c r="B18" s="32"/>
      <c r="C18" s="32"/>
      <c r="D18" s="32"/>
      <c r="E18" s="32"/>
      <c r="F18" s="32"/>
      <c r="G18" s="6">
        <f>G17*0.2</f>
        <v>4209.7260000000006</v>
      </c>
    </row>
    <row r="19" spans="1:8" ht="32.25" customHeight="1" x14ac:dyDescent="0.25">
      <c r="A19" s="31" t="s">
        <v>6</v>
      </c>
      <c r="B19" s="32"/>
      <c r="C19" s="32"/>
      <c r="D19" s="32"/>
      <c r="E19" s="32"/>
      <c r="F19" s="32"/>
      <c r="G19" s="6">
        <f>G18+G17</f>
        <v>25258.356</v>
      </c>
    </row>
    <row r="20" spans="1:8" ht="15.75" x14ac:dyDescent="0.25">
      <c r="A20" s="7"/>
      <c r="B20" s="3"/>
      <c r="C20" s="3"/>
      <c r="D20" s="2"/>
      <c r="E20" s="2"/>
      <c r="F20" s="2"/>
      <c r="G20" s="8"/>
      <c r="H20" s="3"/>
    </row>
    <row r="21" spans="1:8" x14ac:dyDescent="0.25">
      <c r="A21" s="3"/>
      <c r="B21" s="3"/>
      <c r="C21" s="5"/>
      <c r="D21" s="2"/>
      <c r="E21" s="2"/>
      <c r="F21" s="2"/>
      <c r="G21" s="2"/>
      <c r="H21" s="3"/>
    </row>
    <row r="22" spans="1:8" x14ac:dyDescent="0.25">
      <c r="A22" s="9"/>
      <c r="B22" s="9"/>
      <c r="C22" s="9"/>
      <c r="D22" s="10"/>
      <c r="E22" s="10"/>
      <c r="F22" s="30"/>
      <c r="G22" s="30"/>
    </row>
    <row r="23" spans="1:8" x14ac:dyDescent="0.25">
      <c r="A23" s="9"/>
      <c r="B23" s="9"/>
      <c r="C23" s="9"/>
      <c r="F23" s="10"/>
      <c r="G23" s="9"/>
    </row>
    <row r="24" spans="1:8" x14ac:dyDescent="0.25">
      <c r="A24" s="9"/>
      <c r="B24" s="9"/>
      <c r="C24" s="9"/>
      <c r="F24" s="10"/>
      <c r="G24" s="9"/>
    </row>
    <row r="25" spans="1:8" x14ac:dyDescent="0.25">
      <c r="A25" s="9"/>
      <c r="B25" s="9"/>
      <c r="F25" s="10"/>
      <c r="G25" s="9"/>
    </row>
  </sheetData>
  <mergeCells count="6">
    <mergeCell ref="F22:G22"/>
    <mergeCell ref="A17:F17"/>
    <mergeCell ref="A1:C1"/>
    <mergeCell ref="A18:F18"/>
    <mergeCell ref="A19:F19"/>
    <mergeCell ref="A3:G3"/>
  </mergeCells>
  <pageMargins left="0.70866141732283472" right="0.70866141732283472" top="0.74803149606299213" bottom="0.74803149606299213" header="0.31496062992125984" footer="0.31496062992125984"/>
  <pageSetup paperSize="9" scale="9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2026-02-24T02:49:19Z</dcterms:modified>
</cp:coreProperties>
</file>